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02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<sst xmlns="http://schemas.openxmlformats.org/spreadsheetml/2006/main" count="48" uniqueCount="36">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</sst>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5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6.8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4">
        <v>1450000</v>
      </c>
      <c r="D2" t="s">
        <v>6</v>
      </c>
    </row>
    <row r="3" spans="1:4">
      <c r="A3" t="s">
        <v>7</v>
      </c>
      <c r="B3" t="s">
        <v>8</v>
      </c>
      <c r="C3" s="4">
        <v>6200000</v>
      </c>
      <c r="D3" t="s">
        <v>6</v>
      </c>
    </row>
    <row r="4" spans="1:4">
      <c r="A4" t="s">
        <v>9</v>
      </c>
      <c r="B4" t="s">
        <v>10</v>
      </c>
      <c r="C4" s="4">
        <v>2300000</v>
      </c>
      <c r="D4" t="s">
        <v>6</v>
      </c>
    </row>
    <row r="5" spans="1:4">
      <c r="A5" t="s">
        <v>11</v>
      </c>
      <c r="B5" t="s">
        <v>12</v>
      </c>
      <c r="C5" s="4">
        <v>5400000</v>
      </c>
      <c r="D5" t="s">
        <v>13</v>
      </c>
    </row>
    <row r="6" spans="1:4">
      <c r="A6" t="s">
        <v>14</v>
      </c>
      <c r="B6" t="s">
        <v>15</v>
      </c>
      <c r="C6" s="4">
        <v>4200000</v>
      </c>
      <c r="D6" t="s">
        <v>6</v>
      </c>
    </row>
    <row r="7" spans="1:4">
      <c r="A7" t="s">
        <v>16</v>
      </c>
      <c r="B7" t="s">
        <v>17</v>
      </c>
      <c r="C7" s="4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17" sqref="C17"/>
    </sheetView>
  </sheetViews>
  <sheetFormatPr defaultColWidth="9" defaultRowHeight="16.8" outlineLevelCol="5"/>
  <cols>
    <col min="1" max="4" width="24" customWidth="1"/>
    <col min="5" max="5" width="18.234375" customWidth="1"/>
    <col min="6" max="6" width="17.3203125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s="2" t="s">
        <v>21</v>
      </c>
      <c r="F1" s="2" t="s">
        <v>1</v>
      </c>
    </row>
    <row r="2" spans="1:6">
      <c r="A2" t="s">
        <v>22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VLOOKUP(E2,'danh-muc-linh-kien'!$A:$D,2,FALSE)</f>
        <v>Intel NUC i3</v>
      </c>
    </row>
    <row r="3" spans="1:6">
      <c r="A3" t="s">
        <v>23</v>
      </c>
      <c r="B3" t="s">
        <v>24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VLOOKUP(E3,'danh-muc-linh-kien'!$A:$D,2,FALSE)</f>
        <v>Raspberry Pi 4 Model B</v>
      </c>
    </row>
    <row r="4" spans="1:6">
      <c r="A4" t="s">
        <v>25</v>
      </c>
      <c r="B4" t="s">
        <v>26</v>
      </c>
      <c r="C4">
        <v>8</v>
      </c>
      <c r="D4" s="3">
        <v>46114</v>
      </c>
      <c r="E4" t="str">
        <f t="shared" si="0"/>
        <v>LK05</v>
      </c>
      <c r="F4" t="str">
        <f>VLOOKUP(E4,'danh-muc-linh-kien'!$A:$D,2,FALSE)</f>
        <v>Mini PC Fanless N100</v>
      </c>
    </row>
    <row r="5" spans="1:6">
      <c r="A5" t="s">
        <v>27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VLOOKUP(E5,'danh-muc-linh-kien'!$A:$D,2,FALSE)</f>
        <v>Orange Pi 5</v>
      </c>
    </row>
    <row r="6" spans="1:6">
      <c r="A6" t="s">
        <v>28</v>
      </c>
      <c r="B6" t="s">
        <v>29</v>
      </c>
      <c r="C6">
        <v>16</v>
      </c>
      <c r="D6" s="3">
        <v>46133</v>
      </c>
      <c r="E6" t="str">
        <f t="shared" si="0"/>
        <v>LK02</v>
      </c>
      <c r="F6" t="str">
        <f>VLOOKUP(E6,'danh-muc-linh-kien'!$A:$D,2,FALSE)</f>
        <v>Intel NUC i3</v>
      </c>
    </row>
    <row r="7" spans="1:6">
      <c r="A7" t="s">
        <v>30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VLOOKUP(E7,'danh-muc-linh-kien'!$A:$D,2,FALSE)</f>
        <v>Synology DS220j NAS</v>
      </c>
    </row>
    <row r="8" spans="1:6">
      <c r="A8" t="s">
        <v>31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VLOOKUP(E8,'danh-muc-linh-kien'!$A:$D,2,FALSE)</f>
        <v>Raspberry Pi 4 Model B</v>
      </c>
    </row>
    <row r="9" spans="1:6">
      <c r="A9" t="s">
        <v>32</v>
      </c>
      <c r="B9" t="s">
        <v>33</v>
      </c>
      <c r="C9">
        <v>8</v>
      </c>
      <c r="D9" s="3">
        <v>46174</v>
      </c>
      <c r="E9" t="str">
        <f t="shared" si="0"/>
        <v>LK04</v>
      </c>
      <c r="F9" t="str">
        <f>VLOOKUP(E9,'danh-muc-linh-kien'!$A:$D,2,FALSE)</f>
        <v>Dell Optiplex Micro</v>
      </c>
    </row>
    <row r="10" spans="1:6">
      <c r="A10" t="s">
        <v>34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VLOOKUP(E10,'danh-muc-linh-kien'!$A:$D,2,FALSE)</f>
        <v>Orange Pi 5</v>
      </c>
    </row>
    <row r="11" spans="1:6">
      <c r="A11" t="s">
        <v>35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VLOOKUP(E11,'danh-muc-linh-kien'!$A:$D,2,FALSE)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Hồng Quân Nguyễn</cp:lastModifiedBy>
  <dcterms:created xsi:type="dcterms:W3CDTF">2026-10-13T08:17:00Z</dcterms:created>
  <dcterms:modified xsi:type="dcterms:W3CDTF">2026-10-27T08:46:01Z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5CF97731F5AC66485902E06AD21A3FCA_42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